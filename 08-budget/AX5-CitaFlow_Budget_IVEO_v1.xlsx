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<sst xmlns="http://schemas.openxmlformats.org/spreadsheetml/2006/main" count="29" uniqueCount="29">
  <si>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Montage financier — Projet innovation Ville de Montréal</t>
  </si>
  <si>
    <t xml:space="preserve">Nom de la personne ressource du projet</t>
  </si>
  <si>
    <t xml:space="preserve">Mario Deshaies</t>
  </si>
  <si>
    <t xml:space="preserve">Courriel</t>
  </si>
  <si>
    <t xml:space="preserve">team@agenticx5.com</t>
  </si>
  <si>
    <t xml:space="preserve">Nom de l'entreprise</t>
  </si>
  <si>
    <t xml:space="preserve">Innoventera Inc.</t>
  </si>
  <si>
    <t xml:space="preserve">Nom du projet concerné</t>
  </si>
  <si>
    <t xml:space="preserve">Défi #5 — Collecter en temps réel les données liées aux fermetures complètes de voies et à la mobilité sur le domaine public (AX5-CitaFlow)</t>
  </si>
  <si>
    <t xml:space="preserve">Postes de dépenses (4 mois maximum)</t>
  </si>
  <si>
    <t xml:space="preserve">Montant*</t>
  </si>
  <si>
    <t xml:space="preserve">Conception, développement et adaptation de la solution.</t>
  </si>
  <si>
    <t xml:space="preserve">→ Équipe dédiée 3 personnes (Physical AI + Ingénieur IA + Data Scientist) sur 4 mois — adaptation connecteurs MTL, calibration PREDIAG-X5, intégration Open511/Waze/GTFS-RT/GBFS</t>
  </si>
  <si>
    <t xml:space="preserve">Matériels mis à disposition pour l'expérimentation</t>
  </si>
  <si>
    <t xml:space="preserve">→ Caméras ONVIF/RTSP (6-10 unités) · compteurs piétons-vélos IoT LoRaWAN (12-16 unités) · infrastructure Phase 0</t>
  </si>
  <si>
    <t xml:space="preserve">Frais de licence associé aux plateformes technologiques utilisées pour la durée du projet pilote. (Si applicable)</t>
  </si>
  <si>
    <t xml:space="preserve">→ Neo4j Enterprise (4 mois) · Weaviate · cloud OVHcloud Montréal souverain · API LLM Claude/Llama</t>
  </si>
  <si>
    <t xml:space="preserve">Frais de déplacement</t>
  </si>
  <si>
    <t xml:space="preserve">→ Visites terrain équipe AgenticX5 · rencontres Bureau des permis MTL · coordination IVÉO</t>
  </si>
  <si>
    <t xml:space="preserve">Main-d'œuvre liée à la gestion du projet et au suivi de l'expérimentation de la solution</t>
  </si>
  <si>
    <t xml:space="preserve">→ VP AI Mario Deshaies · gestion projet · rapports bi-mensuels au Bureau des permis · coordination IVÉO · transposition Alphaville</t>
  </si>
  <si>
    <t xml:space="preserve">Montant total hors taxes</t>
  </si>
  <si>
    <t xml:space="preserve">TPS (5%)</t>
  </si>
  <si>
    <t xml:space="preserve">TVQ (9.975%)</t>
  </si>
  <si>
    <t xml:space="preserve">COÛT TOTAL ESTIMÉ DU PROJET (Maximum 50.000$ taxes incluses)</t>
  </si>
  <si>
    <t xml:space="preserve">*Les montants indiqués doivent inclure l'ensemble des coûts nécessaires à la réalisation complète du projet pilote, incluant notamment les frais administratifs, généraux et indirects, sans possibilité de réclamation additionnelle.</t>
  </si>
  <si>
    <t xml:space="preserve">Ceci est un document partagé, merci de le télécharger et de ne pas le remplir en ligne</t>
  </si>
  <si>
    <t xml:space="preserve">✓ Conformité budget :</t>
  </si>
  <si>
    <t xml:space="preserve">  Marge sous plafond 50 000 $ 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</si>
</sst>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$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5F"/>
      <name val="Arial"/>
      <family val="0"/>
      <charset val="1"/>
    </font>
    <font>
      <b val="true"/>
      <sz val="10"/>
      <color rgb="FF0A0E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55E6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DA65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3E0"/>
        <bgColor rgb="FFFFFFFF"/>
      </patternFill>
    </fill>
    <fill>
      <patternFill patternType="solid">
        <fgColor rgb="FFFF6B35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B35"/>
      <rgbColor rgb="FF555E6F"/>
      <rgbColor rgb="FF969696"/>
      <rgbColor rgb="FF1E3A5F"/>
      <rgbColor rgb="FF2DA65A"/>
      <rgbColor rgb="FF0A0E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40"/>
  </cols>
  <sheetData>
    <row r="2" customFormat="false" ht="17.35" hidden="false" customHeight="false" outlineLevel="0" collapsed="false">
      <c r="B2" s="1" t="s">
        <v>0</v>
      </c>
      <c r="C2" s="1"/>
    </row>
    <row r="5" customFormat="false" ht="15" hidden="false" customHeight="false" outlineLevel="0" collapsed="false">
      <c r="B5" s="2" t="s">
        <v>1</v>
      </c>
      <c r="C5" s="3" t="s">
        <v>2</v>
      </c>
    </row>
    <row r="6" customFormat="false" ht="15" hidden="false" customHeight="false" outlineLevel="0" collapsed="false">
      <c r="B6" s="2" t="s">
        <v>3</v>
      </c>
      <c r="C6" s="3" t="s">
        <v>4</v>
      </c>
    </row>
    <row r="7" customFormat="false" ht="15" hidden="false" customHeight="false" outlineLevel="0" collapsed="false">
      <c r="B7" s="2" t="s">
        <v>5</v>
      </c>
      <c r="C7" s="3" t="s">
        <v>6</v>
      </c>
    </row>
    <row r="8" customFormat="false" ht="49.5" hidden="false" customHeight="true" outlineLevel="0" collapsed="false">
      <c r="B8" s="2" t="s">
        <v>7</v>
      </c>
      <c r="C8" s="3" t="s">
        <v>8</v>
      </c>
    </row>
    <row r="10" customFormat="false" ht="15" hidden="false" customHeight="false" outlineLevel="0" collapsed="false">
      <c r="B10" s="4" t="s">
        <v>9</v>
      </c>
      <c r="C10" s="4" t="s">
        <v>10</v>
      </c>
    </row>
    <row r="11" customFormat="false" ht="39.75" hidden="false" customHeight="true" outlineLevel="0" collapsed="false">
      <c r="B11" s="5" t="s">
        <v>11</v>
      </c>
      <c r="C11" s="6" t="n">
        <v>22000</v>
      </c>
      <c r="D11" s="7" t="s">
        <v>12</v>
      </c>
    </row>
    <row r="12" customFormat="false" ht="39.75" hidden="false" customHeight="true" outlineLevel="0" collapsed="false">
      <c r="B12" s="5" t="s">
        <v>13</v>
      </c>
      <c r="C12" s="6" t="n">
        <v>8000</v>
      </c>
      <c r="D12" s="7" t="s">
        <v>14</v>
      </c>
    </row>
    <row r="13" customFormat="false" ht="39.75" hidden="false" customHeight="true" outlineLevel="0" collapsed="false">
      <c r="B13" s="5" t="s">
        <v>15</v>
      </c>
      <c r="C13" s="6" t="n">
        <v>4000</v>
      </c>
      <c r="D13" s="7" t="s">
        <v>16</v>
      </c>
    </row>
    <row r="14" customFormat="false" ht="39.75" hidden="false" customHeight="true" outlineLevel="0" collapsed="false">
      <c r="B14" s="5" t="s">
        <v>17</v>
      </c>
      <c r="C14" s="6" t="n">
        <v>500</v>
      </c>
      <c r="D14" s="7" t="s">
        <v>18</v>
      </c>
    </row>
    <row r="15" customFormat="false" ht="39.75" hidden="false" customHeight="true" outlineLevel="0" collapsed="false">
      <c r="B15" s="5" t="s">
        <v>19</v>
      </c>
      <c r="C15" s="6" t="n">
        <v>6500</v>
      </c>
      <c r="D15" s="7" t="s">
        <v>20</v>
      </c>
    </row>
    <row r="17" customFormat="false" ht="15" hidden="false" customHeight="false" outlineLevel="0" collapsed="false">
      <c r="B17" s="8" t="s">
        <v>21</v>
      </c>
      <c r="C17" s="9" t="n">
        <f aca="false">SUM(C11:C15)</f>
        <v>41000</v>
      </c>
    </row>
    <row r="18" customFormat="false" ht="15" hidden="false" customHeight="false" outlineLevel="0" collapsed="false">
      <c r="B18" s="10" t="s">
        <v>22</v>
      </c>
      <c r="C18" s="9" t="n">
        <f aca="false">C17*0.05</f>
        <v>2050</v>
      </c>
    </row>
    <row r="19" customFormat="false" ht="15" hidden="false" customHeight="false" outlineLevel="0" collapsed="false">
      <c r="B19" s="10" t="s">
        <v>23</v>
      </c>
      <c r="C19" s="9" t="n">
        <f aca="false">C17*0.09975</f>
        <v>4089.75</v>
      </c>
    </row>
    <row r="20" customFormat="false" ht="30" hidden="false" customHeight="true" outlineLevel="0" collapsed="false">
      <c r="B20" s="11" t="s">
        <v>24</v>
      </c>
      <c r="C20" s="12" t="n">
        <f aca="false">C17+C18+C19</f>
        <v>47139.75</v>
      </c>
    </row>
    <row r="22" customFormat="false" ht="39.75" hidden="false" customHeight="true" outlineLevel="0" collapsed="false">
      <c r="B22" s="13" t="s">
        <v>25</v>
      </c>
      <c r="C22" s="13"/>
      <c r="D22" s="13"/>
    </row>
    <row r="24" customFormat="false" ht="22.35" hidden="false" customHeight="false" outlineLevel="0" collapsed="false">
      <c r="B24" s="7" t="s">
        <v>26</v>
      </c>
    </row>
    <row r="26" customFormat="false" ht="15" hidden="false" customHeight="false" outlineLevel="0" collapsed="false">
      <c r="B26" s="14" t="s">
        <v>27</v>
      </c>
      <c r="C26" s="15" t="str">
        <f aca="false">IF(C20&lt;=50000,"CONFORME","DÉPASSEMENT")</f>
        <v>CONFORME</v>
      </c>
    </row>
    <row r="27" customFormat="false" ht="15" hidden="false" customHeight="false" outlineLevel="0" collapsed="false">
      <c r="B27" s="16" t="s">
        <v>28</v>
      </c>
      <c r="C27" s="17" t="n">
        <f aca="false">50000-C20</f>
        <v>2860.25</v>
      </c>
    </row>
  </sheetData>
  <mergeCells count="2">
    <mergeCell ref="B2:C2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2026-04-20T10:51:52Z</dcterms:created>
  <dc:creator>openpyxl</dc:creator>
  <dc:description/>
  <dc:language>en-US</dc:language>
  <cp:lastModifiedBy/>
  <dcterms:modified xsi:type="dcterms:W3CDTF">2026-04-20T10:51:52Z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