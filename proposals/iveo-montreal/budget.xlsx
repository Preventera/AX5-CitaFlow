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-Synthèse" sheetId="1" state="visible" r:id="rId3"/>
    <sheet name="2-Ressources humaines" sheetId="2" state="visible" r:id="rId4"/>
    <sheet name="3-Infrastructure" sheetId="3" state="visible" r:id="rId5"/>
    <sheet name="4-Calendrier paiements" sheetId="4" state="visible" r:id="rId6"/>
    <sheet name="5-Vérif plafon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<sst xmlns="http://schemas.openxmlformats.org/spreadsheetml/2006/main" count="134" uniqueCount="123">
  <si>
    <t xml:space="preserve">BUDGET PRÉVISIONNEL</t>
  </si>
  <si>
    <t xml:space="preserve">AX5-CitaFlow · Défi IVÉO #5 · Centre-ville Montréal</t>
  </si>
  <si>
    <t xml:space="preserve">Soumissionnaire : Innoventera Inc. (NEQ 1178346806)</t>
  </si>
  <si>
    <t xml:space="preserve">Pilote 4 mois : juin → septembre 2026</t>
  </si>
  <si>
    <t xml:space="preserve">Plafond IVÉO : 50 000 $ TTC (taxes incluses)</t>
  </si>
  <si>
    <t xml:space="preserve">1. Synthèse des postes budgétaires</t>
  </si>
  <si>
    <t xml:space="preserve">Catégorie</t>
  </si>
  <si>
    <t xml:space="preserve">Sous-total HT</t>
  </si>
  <si>
    <t xml:space="preserve">% du HT</t>
  </si>
  <si>
    <t xml:space="preserve">Renvoi onglet détail</t>
  </si>
  <si>
    <t xml:space="preserve">Catégorie 1 - Ressources humaines</t>
  </si>
  <si>
    <t xml:space="preserve">Onglet 2</t>
  </si>
  <si>
    <t xml:space="preserve">Catégorie 2 - Infrastructure technique</t>
  </si>
  <si>
    <t xml:space="preserve">Onglet 3</t>
  </si>
  <si>
    <t xml:space="preserve">Catégorie 3 - Déplacements terrain</t>
  </si>
  <si>
    <t xml:space="preserve">Hardcodé (note)</t>
  </si>
  <si>
    <t xml:space="preserve">Catégorie 4 - Contingence/imprévus</t>
  </si>
  <si>
    <t xml:space="preserve">SOUS-TOTAL HORS TAXES</t>
  </si>
  <si>
    <t xml:space="preserve">100.0%</t>
  </si>
  <si>
    <t xml:space="preserve">TPS (5%)</t>
  </si>
  <si>
    <t xml:space="preserve">TVQ (9.975%)</t>
  </si>
  <si>
    <t xml:space="preserve">TOTAL TTC DEMANDÉ À IVÉO</t>
  </si>
  <si>
    <t xml:space="preserve">Plafond IVÉO (taxes incluses)</t>
  </si>
  <si>
    <t xml:space="preserve">Marge de sécurité sous plafond</t>
  </si>
  <si>
    <t xml:space="preserve">2. Contribution en nature Innoventera (in-kind)</t>
  </si>
  <si>
    <t xml:space="preserve">En complément du financement IVÉO, Innoventera apporte une contribution en nature significative </t>
  </si>
  <si>
    <t xml:space="preserve">(non facturée), valorisée selon les standards de R&amp;D capitalisée et licences propriétaires :</t>
  </si>
  <si>
    <t xml:space="preserve">Apport en nature</t>
  </si>
  <si>
    <t xml:space="preserve">Valorisation</t>
  </si>
  <si>
    <t xml:space="preserve">Justification</t>
  </si>
  <si>
    <t xml:space="preserve">Licences propriétaires (DIAGX5, ADOPTX5, GATES-X5)</t>
  </si>
  <si>
    <t xml:space="preserve">Plateformes vérifiables (URLs Annexe 2)</t>
  </si>
  <si>
    <t xml:space="preserve">R&amp;D capitalisée socle UrbanIA Live</t>
  </si>
  <si>
    <t xml:space="preserve">Architecture existante réutilisée pour le pilote</t>
  </si>
  <si>
    <t xml:space="preserve">Hébergement portail web Ville (12 mois post-pilote)</t>
  </si>
  <si>
    <t xml:space="preserve">Engagement L5 (autonomie Ville)</t>
  </si>
  <si>
    <t xml:space="preserve">Accès écosystème AgenticX5 + formations</t>
  </si>
  <si>
    <t xml:space="preserve">Méthodologie AX5 + équipe pluridisciplinaire</t>
  </si>
  <si>
    <t xml:space="preserve">TOTAL VALORISATION IN-KIND</t>
  </si>
  <si>
    <t xml:space="preserve">VALEUR TOTALE DU PROJET (financement IVÉO + in-kind)</t>
  </si>
  <si>
    <t xml:space="preserve">Innoventera apporte ainsi en nature plus de 70% supplémentaires par rapport au financement demandé, démontrant un engagement partenarial fort dépassant la stricte exécution contractuelle.</t>
  </si>
  <si>
    <t xml:space="preserve">DÉTAIL RESSOURCES HUMAINES</t>
  </si>
  <si>
    <t xml:space="preserve">Tarifs jour-personne et heures Spécialiste SST</t>
  </si>
  <si>
    <t xml:space="preserve">Profil</t>
  </si>
  <si>
    <t xml:space="preserve">Quantité</t>
  </si>
  <si>
    <t xml:space="preserve">Tarif unitaire</t>
  </si>
  <si>
    <t xml:space="preserve">Activités principales sur le pilote</t>
  </si>
  <si>
    <t xml:space="preserve">Mario Deshaies — CTO Innoventera, garant méthodologique</t>
  </si>
  <si>
    <t xml:space="preserve">30 jours</t>
  </si>
  <si>
    <t xml:space="preserve">Garant méthodologique cycle PREDIAG → GATES, escalade 24/7, workshops co-design avec Ville, comité éthique mensuel, coordination ambassadeurs, arbitrages techniques et juridiques.</t>
  </si>
  <si>
    <t xml:space="preserve">Architecte d'adoption</t>
  </si>
  <si>
    <t xml:space="preserve">5 jours</t>
  </si>
  <si>
    <t xml:space="preserve">Phase PREDIAG-X5 (diagnostic adoption), animation des workshops DIAGX5 Architexture, support comité éthique.</t>
  </si>
  <si>
    <t xml:space="preserve">Spécialiste SST/HSE multisites construction</t>
  </si>
  <si>
    <t xml:space="preserve">35 heures</t>
  </si>
  <si>
    <t xml:space="preserve">Expertise métier coordination SST multisites, validation MVP app mobile chantier, ancrage dans pratiques éprouvées (near miss, retards, coactivité).</t>
  </si>
  <si>
    <t xml:space="preserve">Data engineer / Architecte technique</t>
  </si>
  <si>
    <t xml:space="preserve">12 jours</t>
  </si>
  <si>
    <t xml:space="preserve">Volet DIAGX5 Architexture, intégrations API publiques (AGIR, Permis MTL, BIXI), configuration Neo4j Knowledge Graph, développement MVP app mobile, conformité Loi 25.</t>
  </si>
  <si>
    <t xml:space="preserve">SOUS-TOTAL HT RESSOURCES HUMAINES</t>
  </si>
  <si>
    <t xml:space="preserve">Notes méthodologiques :</t>
  </si>
  <si>
    <t xml:space="preserve">• Mario CTO : 30 jours sur 4 mois ≈ 7 jours/mois (workshops, escalades, présence terrain mensuelle).</t>
  </si>
  <si>
    <t xml:space="preserve">• Architecte d'adoption : intervention ponctuelle aux jalons clés (kick-off, M+1, M+2, M+4).</t>
  </si>
  <si>
    <t xml:space="preserve">• Spécialiste SST : 35h dédiées à la validation métier du MVP et capitalisation des pratiques SST.</t>
  </si>
  <si>
    <t xml:space="preserve">• Data engineer : 12 jours pour développement MVP, intégrations API, monitoring infrastructure.</t>
  </si>
  <si>
    <t xml:space="preserve">• Tous les tarifs sont en CAD, hors taxes. Tarification calibrée selon marché Québec public.</t>
  </si>
  <si>
    <t xml:space="preserve">DÉTAIL INFRASTRUCTURE TECHNIQUE</t>
  </si>
  <si>
    <t xml:space="preserve">Élément</t>
  </si>
  <si>
    <t xml:space="preserve">Type</t>
  </si>
  <si>
    <t xml:space="preserve">Coût HT (4 mois)</t>
  </si>
  <si>
    <t xml:space="preserve">Neo4j Aura — Knowledge Graph</t>
  </si>
  <si>
    <t xml:space="preserve">SaaS cloud</t>
  </si>
  <si>
    <t xml:space="preserve">Stockage des 22M+ relations chantiers/permis/zones, requêtes Cypher &lt;50ms.</t>
  </si>
  <si>
    <t xml:space="preserve">Pinecone — Vector DB embeddings</t>
  </si>
  <si>
    <t xml:space="preserve">Recherche sémantique pour les agents IA UrbanIA, embeddings 1536 dims.</t>
  </si>
  <si>
    <t xml:space="preserve">Claude API (Anthropic)</t>
  </si>
  <si>
    <t xml:space="preserve">API LLM</t>
  </si>
  <si>
    <t xml:space="preserve">Modèles d'IA pour les 7 agents UrbanIA (~10M tokens sur 4 mois).</t>
  </si>
  <si>
    <t xml:space="preserve">Hébergement Netlify portail web Ville</t>
  </si>
  <si>
    <t xml:space="preserve">Hébergement</t>
  </si>
  <si>
    <t xml:space="preserve">Déploiement de l'application web sécurisée pour la Ville (12 mois inclus).</t>
  </si>
  <si>
    <t xml:space="preserve">SOUS-TOTAL HT INFRASTRUCTURE</t>
  </si>
  <si>
    <t xml:space="preserve">Notes :</t>
  </si>
  <si>
    <t xml:space="preserve">• Tous les coûts sont des estimations basées sur tarifs publics au 30 avril 2026.</t>
  </si>
  <si>
    <t xml:space="preserve">• Les licences propriétaires AgenticX5 (DIAGX5, ADOPTX5, etc.) sont incluses en contribution en nature (Onglet 1).</t>
  </si>
  <si>
    <t xml:space="preserve">• L'hébergement post-pilote 12 mois est offert par Innoventera (in-kind) au-delà du pilote.</t>
  </si>
  <si>
    <t xml:space="preserve">CALENDRIER DE PAIEMENTS PROPOSÉ</t>
  </si>
  <si>
    <t xml:space="preserve">Échelonnement des paiements selon les jalons du pilote (4 mois)</t>
  </si>
  <si>
    <t xml:space="preserve">Jalon</t>
  </si>
  <si>
    <t xml:space="preserve">Date prévisionnelle</t>
  </si>
  <si>
    <t xml:space="preserve">Montant HT</t>
  </si>
  <si>
    <t xml:space="preserve">Livrables associés</t>
  </si>
  <si>
    <t xml:space="preserve">Kick-off</t>
  </si>
  <si>
    <t xml:space="preserve">Début juin 2026</t>
  </si>
  <si>
    <t xml:space="preserve">DPIA pré-rempli + Plan de projet détaillé</t>
  </si>
  <si>
    <t xml:space="preserve">M+1 · MVP fonctionnel</t>
  </si>
  <si>
    <t xml:space="preserve">Juillet 2026</t>
  </si>
  <si>
    <t xml:space="preserve">L3 v0.1 (architecture) + Tests end-to-end avec API publiques</t>
  </si>
  <si>
    <t xml:space="preserve">M+2 · Mi-pilote</t>
  </si>
  <si>
    <t xml:space="preserve">Août 2026</t>
  </si>
  <si>
    <t xml:space="preserve">L1 v0.5 (datasets partiels) + L3 v0.5 + Reporting adoption ADOPTX5</t>
  </si>
  <si>
    <t xml:space="preserve">M+3 · Pré-final</t>
  </si>
  <si>
    <t xml:space="preserve">Septembre 2026</t>
  </si>
  <si>
    <t xml:space="preserve">L2 draft (rapport) + L4 draft (architecture) + L5 préliminaire</t>
  </si>
  <si>
    <t xml:space="preserve">M+4 · Final</t>
  </si>
  <si>
    <t xml:space="preserve">Fin sept. 2026</t>
  </si>
  <si>
    <t xml:space="preserve">L1, L2, L3, L4, L5 versions définitives + Portail web livré</t>
  </si>
  <si>
    <t xml:space="preserve">TOTAL HT</t>
  </si>
  <si>
    <t xml:space="preserve">• Les paiements sont conditionnels à la livraison effective des livrables associés à chaque jalon.</t>
  </si>
  <si>
    <t xml:space="preserve">• La répartition 20/25/20/20/15 pondère le travail front-loaded (kick-off + MVP) et le travail final (livrables).</t>
  </si>
  <si>
    <t xml:space="preserve">• Innoventera s'engage à signaler tout retard potentiel ≥2 semaines avant l'échéance d'un jalon.</t>
  </si>
  <si>
    <t xml:space="preserve">VÉRIFICATION PAR RAPPORT AU PLAFOND IVÉO</t>
  </si>
  <si>
    <t xml:space="preserve">Le budget ne pourra pas dépasser 50 000 $ TTC (taxes incluses)</t>
  </si>
  <si>
    <t xml:space="preserve">Montant ($)</t>
  </si>
  <si>
    <t xml:space="preserve">% du plafond</t>
  </si>
  <si>
    <t xml:space="preserve">Statut</t>
  </si>
  <si>
    <t xml:space="preserve">Référence</t>
  </si>
  <si>
    <t xml:space="preserve">Sous-total HT (avant taxes)</t>
  </si>
  <si>
    <t xml:space="preserve">HT seulement</t>
  </si>
  <si>
    <t xml:space="preserve">TOTAL TTC DEMANDÉ</t>
  </si>
  <si>
    <t xml:space="preserve">Marge sous plafond</t>
  </si>
  <si>
    <t xml:space="preserve">Sécurité opérationnelle</t>
  </si>
  <si>
    <t xml:space="preserve">Cette marge de sécurité (~1 596 $ TTC, soit ~3.2 % du plafond) permet d'absorber d'éventuels ajustements mineurs sans dépasser le plafond contractuel IVÉO. Tout dépassement potentiel fera l'objet d'une demande formelle de réajustement avant son occurrence.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</si>
</sst>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$&quot;;\(#,##0.00&quot; $)&quot;;\-"/>
    <numFmt numFmtId="166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4B8A6"/>
      <name val="Cambria"/>
      <family val="0"/>
      <charset val="1"/>
    </font>
    <font>
      <b val="true"/>
      <sz val="12"/>
      <color rgb="FF0A0E1A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i val="true"/>
      <sz val="11"/>
      <color rgb="FF047857"/>
      <name val="Cambria"/>
      <family val="0"/>
      <charset val="1"/>
    </font>
    <font>
      <b val="true"/>
      <sz val="14"/>
      <color rgb="FF0A0E1A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1"/>
      <color rgb="FF14B8A6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047857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B8A6"/>
        <bgColor rgb="FF00CCFF"/>
      </patternFill>
    </fill>
    <fill>
      <patternFill patternType="solid">
        <fgColor rgb="FFF0FDFA"/>
        <bgColor rgb="FFFFFFFF"/>
      </patternFill>
    </fill>
    <fill>
      <patternFill patternType="solid">
        <fgColor rgb="FFD1FAE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2DA"/>
      </left>
      <right style="thin">
        <color rgb="FFCBD2DA"/>
      </right>
      <top style="thin">
        <color rgb="FFCBD2DA"/>
      </top>
      <bottom style="thin">
        <color rgb="FFCBD2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47857"/>
      <rgbColor rgb="FFC0C0C0"/>
      <rgbColor rgb="FF808080"/>
      <rgbColor rgb="FF9999FF"/>
      <rgbColor rgb="FF993366"/>
      <rgbColor rgb="FFF0FDFA"/>
      <rgbColor rgb="FFCCFFFF"/>
      <rgbColor rgb="FF660066"/>
      <rgbColor rgb="FFFF8080"/>
      <rgbColor rgb="FF0066CC"/>
      <rgbColor rgb="FFCBD2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14B8A6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A0E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3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8" customFormat="false" ht="15" hidden="false" customHeight="false" outlineLevel="0" collapsed="false">
      <c r="B8" s="2" t="s">
        <v>5</v>
      </c>
    </row>
    <row r="10" customFormat="false" ht="24.75" hidden="false" customHeight="true" outlineLevel="0" collapsed="false">
      <c r="B10" s="4" t="s">
        <v>6</v>
      </c>
      <c r="C10" s="4" t="s">
        <v>7</v>
      </c>
      <c r="D10" s="4" t="s">
        <v>8</v>
      </c>
      <c r="E10" s="4" t="s">
        <v>9</v>
      </c>
    </row>
    <row r="11" customFormat="false" ht="21.75" hidden="false" customHeight="true" outlineLevel="0" collapsed="false">
      <c r="B11" s="5" t="s">
        <v>10</v>
      </c>
      <c r="C11" s="6" t="n">
        <f aca="false">'2-Ressources humaines'!E12</f>
        <v>37900</v>
      </c>
      <c r="D11" s="7" t="n">
        <f aca="false">C11/$C$15</f>
        <v>0.900237529691211</v>
      </c>
      <c r="E11" s="8" t="s">
        <v>11</v>
      </c>
    </row>
    <row r="12" customFormat="false" ht="21.75" hidden="false" customHeight="true" outlineLevel="0" collapsed="false">
      <c r="B12" s="5" t="s">
        <v>12</v>
      </c>
      <c r="C12" s="6" t="n">
        <f aca="false">'3-Infrastructure'!D10</f>
        <v>1800</v>
      </c>
      <c r="D12" s="7" t="n">
        <f aca="false">C12/$C$15</f>
        <v>0.0427553444180523</v>
      </c>
      <c r="E12" s="8" t="s">
        <v>13</v>
      </c>
    </row>
    <row r="13" customFormat="false" ht="21.75" hidden="false" customHeight="true" outlineLevel="0" collapsed="false">
      <c r="B13" s="5" t="s">
        <v>14</v>
      </c>
      <c r="C13" s="9" t="n">
        <v>1200</v>
      </c>
      <c r="D13" s="7" t="n">
        <f aca="false">C13/$C$15</f>
        <v>0.0285035629453682</v>
      </c>
      <c r="E13" s="8" t="s">
        <v>15</v>
      </c>
    </row>
    <row r="14" customFormat="false" ht="21.75" hidden="false" customHeight="true" outlineLevel="0" collapsed="false">
      <c r="B14" s="5" t="s">
        <v>16</v>
      </c>
      <c r="C14" s="9" t="n">
        <v>1200</v>
      </c>
      <c r="D14" s="7" t="n">
        <f aca="false">C14/$C$15</f>
        <v>0.0285035629453682</v>
      </c>
      <c r="E14" s="8" t="s">
        <v>15</v>
      </c>
    </row>
    <row r="15" customFormat="false" ht="21.75" hidden="false" customHeight="true" outlineLevel="0" collapsed="false">
      <c r="B15" s="10" t="s">
        <v>17</v>
      </c>
      <c r="C15" s="11" t="n">
        <f aca="false">SUM(C11:C14)</f>
        <v>42100</v>
      </c>
      <c r="D15" s="10" t="s">
        <v>18</v>
      </c>
      <c r="E15" s="12"/>
    </row>
    <row r="16" customFormat="false" ht="15" hidden="false" customHeight="false" outlineLevel="0" collapsed="false">
      <c r="B16" s="13" t="s">
        <v>19</v>
      </c>
      <c r="C16" s="14" t="n">
        <f aca="false">C15*0.05</f>
        <v>2105</v>
      </c>
    </row>
    <row r="17" customFormat="false" ht="15" hidden="false" customHeight="false" outlineLevel="0" collapsed="false">
      <c r="B17" s="13" t="s">
        <v>20</v>
      </c>
      <c r="C17" s="14" t="n">
        <f aca="false">C15*0.09975</f>
        <v>4199.475</v>
      </c>
    </row>
    <row r="18" customFormat="false" ht="21.75" hidden="false" customHeight="true" outlineLevel="0" collapsed="false">
      <c r="B18" s="15" t="s">
        <v>21</v>
      </c>
      <c r="C18" s="16" t="n">
        <f aca="false">C15+C16+C17</f>
        <v>48404.475</v>
      </c>
    </row>
    <row r="19" customFormat="false" ht="15" hidden="false" customHeight="false" outlineLevel="0" collapsed="false">
      <c r="B19" s="13" t="s">
        <v>22</v>
      </c>
      <c r="C19" s="9" t="n">
        <v>50000</v>
      </c>
    </row>
    <row r="20" customFormat="false" ht="15" hidden="false" customHeight="false" outlineLevel="0" collapsed="false">
      <c r="B20" s="17" t="s">
        <v>23</v>
      </c>
      <c r="C20" s="18" t="n">
        <f aca="false">C19-C18</f>
        <v>1595.525</v>
      </c>
    </row>
    <row r="22" customFormat="false" ht="15" hidden="false" customHeight="false" outlineLevel="0" collapsed="false">
      <c r="B22" s="2" t="s">
        <v>24</v>
      </c>
    </row>
    <row r="23" customFormat="false" ht="15" hidden="false" customHeight="false" outlineLevel="0" collapsed="false">
      <c r="B23" s="19" t="s">
        <v>25</v>
      </c>
      <c r="C23" s="19"/>
      <c r="D23" s="19"/>
      <c r="E23" s="19"/>
    </row>
    <row r="24" customFormat="false" ht="15" hidden="false" customHeight="false" outlineLevel="0" collapsed="false">
      <c r="B24" s="19" t="s">
        <v>26</v>
      </c>
      <c r="C24" s="19"/>
      <c r="D24" s="19"/>
      <c r="E24" s="19"/>
    </row>
    <row r="26" customFormat="false" ht="15" hidden="false" customHeight="false" outlineLevel="0" collapsed="false">
      <c r="B26" s="4" t="s">
        <v>27</v>
      </c>
      <c r="C26" s="4" t="s">
        <v>28</v>
      </c>
      <c r="E26" s="4" t="s">
        <v>29</v>
      </c>
    </row>
    <row r="27" customFormat="false" ht="15" hidden="false" customHeight="false" outlineLevel="0" collapsed="false">
      <c r="B27" s="13" t="s">
        <v>30</v>
      </c>
      <c r="C27" s="9" t="n">
        <v>12000</v>
      </c>
      <c r="E27" s="8" t="s">
        <v>31</v>
      </c>
    </row>
    <row r="28" customFormat="false" ht="15" hidden="false" customHeight="false" outlineLevel="0" collapsed="false">
      <c r="B28" s="13" t="s">
        <v>32</v>
      </c>
      <c r="C28" s="9" t="n">
        <v>18000</v>
      </c>
      <c r="E28" s="8" t="s">
        <v>33</v>
      </c>
    </row>
    <row r="29" customFormat="false" ht="15" hidden="false" customHeight="false" outlineLevel="0" collapsed="false">
      <c r="B29" s="13" t="s">
        <v>34</v>
      </c>
      <c r="C29" s="9" t="n">
        <v>2000</v>
      </c>
      <c r="E29" s="8" t="s">
        <v>35</v>
      </c>
    </row>
    <row r="30" customFormat="false" ht="15" hidden="false" customHeight="false" outlineLevel="0" collapsed="false">
      <c r="B30" s="13" t="s">
        <v>36</v>
      </c>
      <c r="C30" s="9" t="n">
        <v>3000</v>
      </c>
      <c r="E30" s="8" t="s">
        <v>37</v>
      </c>
    </row>
    <row r="31" customFormat="false" ht="15" hidden="false" customHeight="false" outlineLevel="0" collapsed="false">
      <c r="B31" s="10" t="s">
        <v>38</v>
      </c>
      <c r="C31" s="11" t="n">
        <f aca="false">SUM(C27:C30)</f>
        <v>35000</v>
      </c>
    </row>
    <row r="33" customFormat="false" ht="28.35" hidden="false" customHeight="false" outlineLevel="0" collapsed="false">
      <c r="B33" s="4" t="s">
        <v>39</v>
      </c>
      <c r="C33" s="20" t="n">
        <f aca="false">C18+C31</f>
        <v>83404.475</v>
      </c>
    </row>
    <row r="35" customFormat="false" ht="30" hidden="false" customHeight="true" outlineLevel="0" collapsed="false">
      <c r="B35" s="21" t="s">
        <v>40</v>
      </c>
      <c r="C35" s="21"/>
      <c r="D35" s="21"/>
      <c r="E35" s="21"/>
    </row>
  </sheetData>
  <mergeCells count="3">
    <mergeCell ref="B23:E23"/>
    <mergeCell ref="B24:E24"/>
    <mergeCell ref="B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5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50"/>
  </cols>
  <sheetData>
    <row r="2" customFormat="false" ht="17.35" hidden="false" customHeight="false" outlineLevel="0" collapsed="false">
      <c r="B2" s="22" t="s">
        <v>41</v>
      </c>
    </row>
    <row r="3" customFormat="false" ht="15" hidden="false" customHeight="false" outlineLevel="0" collapsed="false">
      <c r="B3" s="3" t="s">
        <v>42</v>
      </c>
    </row>
    <row r="5" customFormat="false" ht="24.75" hidden="false" customHeight="true" outlineLevel="0" collapsed="false">
      <c r="B5" s="4" t="s">
        <v>43</v>
      </c>
      <c r="C5" s="4" t="s">
        <v>44</v>
      </c>
      <c r="D5" s="4" t="s">
        <v>45</v>
      </c>
      <c r="E5" s="4" t="s">
        <v>7</v>
      </c>
      <c r="F5" s="4" t="s">
        <v>46</v>
      </c>
    </row>
    <row r="7" customFormat="false" ht="60" hidden="false" customHeight="true" outlineLevel="0" collapsed="false">
      <c r="B7" s="5" t="s">
        <v>47</v>
      </c>
      <c r="C7" s="23" t="s">
        <v>48</v>
      </c>
      <c r="D7" s="9" t="n">
        <v>750</v>
      </c>
      <c r="E7" s="14" t="n">
        <f aca="false">30*D7</f>
        <v>22500</v>
      </c>
      <c r="F7" s="24" t="s">
        <v>49</v>
      </c>
    </row>
    <row r="8" customFormat="false" ht="60" hidden="false" customHeight="true" outlineLevel="0" collapsed="false">
      <c r="B8" s="5" t="s">
        <v>50</v>
      </c>
      <c r="C8" s="23" t="s">
        <v>51</v>
      </c>
      <c r="D8" s="9" t="n">
        <v>700</v>
      </c>
      <c r="E8" s="14" t="n">
        <f aca="false">5*D8</f>
        <v>3500</v>
      </c>
      <c r="F8" s="24" t="s">
        <v>52</v>
      </c>
    </row>
    <row r="9" customFormat="false" ht="60" hidden="false" customHeight="true" outlineLevel="0" collapsed="false">
      <c r="B9" s="5" t="s">
        <v>53</v>
      </c>
      <c r="C9" s="23" t="s">
        <v>54</v>
      </c>
      <c r="D9" s="9" t="n">
        <v>100</v>
      </c>
      <c r="E9" s="14" t="n">
        <f aca="false">35*D9</f>
        <v>3500</v>
      </c>
      <c r="F9" s="24" t="s">
        <v>55</v>
      </c>
    </row>
    <row r="10" customFormat="false" ht="60" hidden="false" customHeight="true" outlineLevel="0" collapsed="false">
      <c r="B10" s="5" t="s">
        <v>56</v>
      </c>
      <c r="C10" s="23" t="s">
        <v>57</v>
      </c>
      <c r="D10" s="9" t="n">
        <v>700</v>
      </c>
      <c r="E10" s="14" t="n">
        <f aca="false">12*D10</f>
        <v>8400</v>
      </c>
      <c r="F10" s="24" t="s">
        <v>58</v>
      </c>
    </row>
    <row r="12" customFormat="false" ht="24.75" hidden="false" customHeight="true" outlineLevel="0" collapsed="false">
      <c r="B12" s="4" t="s">
        <v>59</v>
      </c>
      <c r="C12" s="4"/>
      <c r="D12" s="4"/>
      <c r="E12" s="20" t="n">
        <f aca="false">SUM(E7:E10)</f>
        <v>37900</v>
      </c>
    </row>
    <row r="14" customFormat="false" ht="15" hidden="false" customHeight="false" outlineLevel="0" collapsed="false">
      <c r="B14" s="25" t="s">
        <v>60</v>
      </c>
    </row>
    <row r="15" customFormat="false" ht="15" hidden="false" customHeight="false" outlineLevel="0" collapsed="false">
      <c r="B15" s="19" t="s">
        <v>61</v>
      </c>
      <c r="C15" s="19"/>
      <c r="D15" s="19"/>
      <c r="E15" s="19"/>
      <c r="F15" s="19"/>
    </row>
    <row r="16" customFormat="false" ht="15" hidden="false" customHeight="false" outlineLevel="0" collapsed="false">
      <c r="B16" s="19" t="s">
        <v>62</v>
      </c>
      <c r="C16" s="19"/>
      <c r="D16" s="19"/>
      <c r="E16" s="19"/>
      <c r="F16" s="19"/>
    </row>
    <row r="17" customFormat="false" ht="15" hidden="false" customHeight="false" outlineLevel="0" collapsed="false">
      <c r="B17" s="19" t="s">
        <v>63</v>
      </c>
      <c r="C17" s="19"/>
      <c r="D17" s="19"/>
      <c r="E17" s="19"/>
      <c r="F17" s="19"/>
    </row>
    <row r="18" customFormat="false" ht="15" hidden="false" customHeight="false" outlineLevel="0" collapsed="false">
      <c r="B18" s="19" t="s">
        <v>64</v>
      </c>
      <c r="C18" s="19"/>
      <c r="D18" s="19"/>
      <c r="E18" s="19"/>
      <c r="F18" s="19"/>
    </row>
    <row r="19" customFormat="false" ht="15" hidden="false" customHeight="false" outlineLevel="0" collapsed="false">
      <c r="B19" s="19" t="s">
        <v>65</v>
      </c>
      <c r="C19" s="19"/>
      <c r="D19" s="19"/>
      <c r="E19" s="19"/>
      <c r="F19" s="19"/>
    </row>
  </sheetData>
  <mergeCells count="6">
    <mergeCell ref="B12:D12"/>
    <mergeCell ref="B15:F15"/>
    <mergeCell ref="B16:F16"/>
    <mergeCell ref="B17:F17"/>
    <mergeCell ref="B18:F18"/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5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0"/>
  </cols>
  <sheetData>
    <row r="2" customFormat="false" ht="17.35" hidden="false" customHeight="false" outlineLevel="0" collapsed="false">
      <c r="B2" s="22" t="s">
        <v>66</v>
      </c>
    </row>
    <row r="5" customFormat="false" ht="24.75" hidden="false" customHeight="true" outlineLevel="0" collapsed="false">
      <c r="B5" s="4" t="s">
        <v>67</v>
      </c>
      <c r="C5" s="4" t="s">
        <v>68</v>
      </c>
      <c r="D5" s="4" t="s">
        <v>69</v>
      </c>
      <c r="E5" s="4" t="s">
        <v>29</v>
      </c>
    </row>
    <row r="6" customFormat="false" ht="34.5" hidden="false" customHeight="true" outlineLevel="0" collapsed="false">
      <c r="B6" s="5" t="s">
        <v>70</v>
      </c>
      <c r="C6" s="26" t="s">
        <v>71</v>
      </c>
      <c r="D6" s="9" t="n">
        <v>600</v>
      </c>
      <c r="E6" s="24" t="s">
        <v>72</v>
      </c>
    </row>
    <row r="7" customFormat="false" ht="34.5" hidden="false" customHeight="true" outlineLevel="0" collapsed="false">
      <c r="B7" s="5" t="s">
        <v>73</v>
      </c>
      <c r="C7" s="26" t="s">
        <v>71</v>
      </c>
      <c r="D7" s="9" t="n">
        <v>400</v>
      </c>
      <c r="E7" s="24" t="s">
        <v>74</v>
      </c>
    </row>
    <row r="8" customFormat="false" ht="34.5" hidden="false" customHeight="true" outlineLevel="0" collapsed="false">
      <c r="B8" s="5" t="s">
        <v>75</v>
      </c>
      <c r="C8" s="26" t="s">
        <v>76</v>
      </c>
      <c r="D8" s="9" t="n">
        <v>500</v>
      </c>
      <c r="E8" s="24" t="s">
        <v>77</v>
      </c>
    </row>
    <row r="9" customFormat="false" ht="34.5" hidden="false" customHeight="true" outlineLevel="0" collapsed="false">
      <c r="B9" s="5" t="s">
        <v>78</v>
      </c>
      <c r="C9" s="26" t="s">
        <v>79</v>
      </c>
      <c r="D9" s="9" t="n">
        <v>300</v>
      </c>
      <c r="E9" s="24" t="s">
        <v>80</v>
      </c>
    </row>
    <row r="10" customFormat="false" ht="24.75" hidden="false" customHeight="true" outlineLevel="0" collapsed="false">
      <c r="B10" s="4" t="s">
        <v>81</v>
      </c>
      <c r="C10" s="4"/>
      <c r="D10" s="20" t="n">
        <f aca="false">SUM(D6:D9)</f>
        <v>1800</v>
      </c>
    </row>
    <row r="12" customFormat="false" ht="15" hidden="false" customHeight="false" outlineLevel="0" collapsed="false">
      <c r="B12" s="25" t="s">
        <v>82</v>
      </c>
    </row>
    <row r="13" customFormat="false" ht="15" hidden="false" customHeight="false" outlineLevel="0" collapsed="false">
      <c r="B13" s="19" t="s">
        <v>83</v>
      </c>
      <c r="C13" s="19"/>
      <c r="D13" s="19"/>
      <c r="E13" s="19"/>
    </row>
    <row r="14" customFormat="false" ht="15" hidden="false" customHeight="false" outlineLevel="0" collapsed="false">
      <c r="B14" s="19" t="s">
        <v>84</v>
      </c>
      <c r="C14" s="19"/>
      <c r="D14" s="19"/>
      <c r="E14" s="19"/>
    </row>
    <row r="15" customFormat="false" ht="15" hidden="false" customHeight="false" outlineLevel="0" collapsed="false">
      <c r="B15" s="19" t="s">
        <v>85</v>
      </c>
      <c r="C15" s="19"/>
      <c r="D15" s="19"/>
      <c r="E15" s="19"/>
    </row>
  </sheetData>
  <mergeCells count="4">
    <mergeCell ref="B10:C10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45"/>
  </cols>
  <sheetData>
    <row r="2" customFormat="false" ht="17.35" hidden="false" customHeight="false" outlineLevel="0" collapsed="false">
      <c r="B2" s="22" t="s">
        <v>86</v>
      </c>
    </row>
    <row r="3" customFormat="false" ht="15" hidden="false" customHeight="false" outlineLevel="0" collapsed="false">
      <c r="B3" s="3" t="s">
        <v>87</v>
      </c>
    </row>
    <row r="5" customFormat="false" ht="24.75" hidden="false" customHeight="true" outlineLevel="0" collapsed="false">
      <c r="B5" s="4" t="s">
        <v>88</v>
      </c>
      <c r="C5" s="4" t="s">
        <v>89</v>
      </c>
      <c r="D5" s="4" t="s">
        <v>90</v>
      </c>
      <c r="E5" s="4" t="s">
        <v>8</v>
      </c>
      <c r="F5" s="4" t="s">
        <v>91</v>
      </c>
    </row>
    <row r="6" customFormat="false" ht="34.5" hidden="false" customHeight="true" outlineLevel="0" collapsed="false">
      <c r="B6" s="27" t="s">
        <v>92</v>
      </c>
      <c r="C6" s="26" t="s">
        <v>93</v>
      </c>
      <c r="D6" s="6" t="n">
        <f aca="false">0.2*'1-Synthèse'!C15</f>
        <v>8420</v>
      </c>
      <c r="E6" s="28" t="n">
        <v>0.2</v>
      </c>
      <c r="F6" s="24" t="s">
        <v>94</v>
      </c>
    </row>
    <row r="7" customFormat="false" ht="34.5" hidden="false" customHeight="true" outlineLevel="0" collapsed="false">
      <c r="B7" s="27" t="s">
        <v>95</v>
      </c>
      <c r="C7" s="26" t="s">
        <v>96</v>
      </c>
      <c r="D7" s="6" t="n">
        <f aca="false">0.25*'1-Synthèse'!C15</f>
        <v>10525</v>
      </c>
      <c r="E7" s="28" t="n">
        <v>0.25</v>
      </c>
      <c r="F7" s="24" t="s">
        <v>97</v>
      </c>
    </row>
    <row r="8" customFormat="false" ht="34.5" hidden="false" customHeight="true" outlineLevel="0" collapsed="false">
      <c r="B8" s="27" t="s">
        <v>98</v>
      </c>
      <c r="C8" s="26" t="s">
        <v>99</v>
      </c>
      <c r="D8" s="6" t="n">
        <f aca="false">0.2*'1-Synthèse'!C15</f>
        <v>8420</v>
      </c>
      <c r="E8" s="28" t="n">
        <v>0.2</v>
      </c>
      <c r="F8" s="24" t="s">
        <v>100</v>
      </c>
    </row>
    <row r="9" customFormat="false" ht="34.5" hidden="false" customHeight="true" outlineLevel="0" collapsed="false">
      <c r="B9" s="27" t="s">
        <v>101</v>
      </c>
      <c r="C9" s="26" t="s">
        <v>102</v>
      </c>
      <c r="D9" s="6" t="n">
        <f aca="false">0.2*'1-Synthèse'!C15</f>
        <v>8420</v>
      </c>
      <c r="E9" s="28" t="n">
        <v>0.2</v>
      </c>
      <c r="F9" s="24" t="s">
        <v>103</v>
      </c>
    </row>
    <row r="10" customFormat="false" ht="34.5" hidden="false" customHeight="true" outlineLevel="0" collapsed="false">
      <c r="B10" s="27" t="s">
        <v>104</v>
      </c>
      <c r="C10" s="26" t="s">
        <v>105</v>
      </c>
      <c r="D10" s="6" t="n">
        <f aca="false">0.15*'1-Synthèse'!C15</f>
        <v>6315</v>
      </c>
      <c r="E10" s="28" t="n">
        <v>0.15</v>
      </c>
      <c r="F10" s="24" t="s">
        <v>106</v>
      </c>
    </row>
    <row r="11" customFormat="false" ht="24.75" hidden="false" customHeight="true" outlineLevel="0" collapsed="false">
      <c r="B11" s="4" t="s">
        <v>107</v>
      </c>
      <c r="C11" s="4"/>
      <c r="D11" s="20" t="n">
        <f aca="false">SUM(D6:D10)</f>
        <v>42100</v>
      </c>
      <c r="E11" s="29" t="n">
        <f aca="false">SUM(E6:E10)</f>
        <v>1</v>
      </c>
      <c r="F11" s="13"/>
    </row>
    <row r="13" customFormat="false" ht="15" hidden="false" customHeight="false" outlineLevel="0" collapsed="false">
      <c r="B13" s="25" t="s">
        <v>82</v>
      </c>
    </row>
    <row r="14" customFormat="false" ht="15" hidden="false" customHeight="false" outlineLevel="0" collapsed="false">
      <c r="B14" s="19" t="s">
        <v>108</v>
      </c>
      <c r="C14" s="19"/>
      <c r="D14" s="19"/>
      <c r="E14" s="19"/>
      <c r="F14" s="19"/>
    </row>
    <row r="15" customFormat="false" ht="15" hidden="false" customHeight="false" outlineLevel="0" collapsed="false">
      <c r="B15" s="19" t="s">
        <v>109</v>
      </c>
      <c r="C15" s="19"/>
      <c r="D15" s="19"/>
      <c r="E15" s="19"/>
      <c r="F15" s="19"/>
    </row>
    <row r="16" customFormat="false" ht="15" hidden="false" customHeight="false" outlineLevel="0" collapsed="false">
      <c r="B16" s="19" t="s">
        <v>110</v>
      </c>
      <c r="C16" s="19"/>
      <c r="D16" s="19"/>
      <c r="E16" s="19"/>
      <c r="F16" s="19"/>
    </row>
  </sheetData>
  <mergeCells count="4">
    <mergeCell ref="B11:C11"/>
    <mergeCell ref="B14:F14"/>
    <mergeCell ref="B15:F15"/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5"/>
    <col collapsed="false" customWidth="true" hidden="false" outlineLevel="0" max="4" min="3" style="0" width="16"/>
    <col collapsed="false" customWidth="true" hidden="false" outlineLevel="0" max="5" min="5" style="0" width="30"/>
  </cols>
  <sheetData>
    <row r="2" customFormat="false" ht="17.35" hidden="false" customHeight="false" outlineLevel="0" collapsed="false">
      <c r="B2" s="22" t="s">
        <v>111</v>
      </c>
    </row>
    <row r="3" customFormat="false" ht="15" hidden="false" customHeight="false" outlineLevel="0" collapsed="false">
      <c r="B3" s="3" t="s">
        <v>112</v>
      </c>
    </row>
    <row r="5" customFormat="false" ht="24.75" hidden="false" customHeight="true" outlineLevel="0" collapsed="false">
      <c r="B5" s="4" t="s">
        <v>67</v>
      </c>
      <c r="C5" s="4" t="s">
        <v>113</v>
      </c>
      <c r="D5" s="4" t="s">
        <v>114</v>
      </c>
      <c r="E5" s="4" t="s">
        <v>115</v>
      </c>
    </row>
    <row r="6" customFormat="false" ht="15" hidden="false" customHeight="false" outlineLevel="0" collapsed="false">
      <c r="B6" s="5" t="s">
        <v>22</v>
      </c>
      <c r="C6" s="6" t="n">
        <f aca="false">'1-Synthèse'!C19</f>
        <v>50000</v>
      </c>
      <c r="D6" s="30" t="s">
        <v>18</v>
      </c>
      <c r="E6" s="26" t="s">
        <v>116</v>
      </c>
    </row>
    <row r="7" customFormat="false" ht="15" hidden="false" customHeight="false" outlineLevel="0" collapsed="false">
      <c r="B7" s="5" t="s">
        <v>117</v>
      </c>
      <c r="C7" s="6" t="n">
        <f aca="false">'1-Synthèse'!C15</f>
        <v>42100</v>
      </c>
      <c r="D7" s="31" t="n">
        <f aca="false">C7/C6</f>
        <v>0.842</v>
      </c>
      <c r="E7" s="26" t="s">
        <v>118</v>
      </c>
    </row>
    <row r="8" customFormat="false" ht="15" hidden="false" customHeight="false" outlineLevel="0" collapsed="false">
      <c r="B8" s="13" t="s">
        <v>19</v>
      </c>
      <c r="C8" s="6" t="n">
        <f aca="false">'1-Synthèse'!C16</f>
        <v>2105</v>
      </c>
      <c r="D8" s="32" t="n">
        <f aca="false">C8/C6</f>
        <v>0.0421</v>
      </c>
      <c r="E8" s="13"/>
    </row>
    <row r="9" customFormat="false" ht="15" hidden="false" customHeight="false" outlineLevel="0" collapsed="false">
      <c r="B9" s="13" t="s">
        <v>20</v>
      </c>
      <c r="C9" s="6" t="n">
        <f aca="false">'1-Synthèse'!C17</f>
        <v>4199.475</v>
      </c>
      <c r="D9" s="32" t="n">
        <f aca="false">C9/C6</f>
        <v>0.0839895</v>
      </c>
      <c r="E9" s="13"/>
    </row>
    <row r="10" customFormat="false" ht="24.75" hidden="false" customHeight="true" outlineLevel="0" collapsed="false">
      <c r="B10" s="10" t="s">
        <v>119</v>
      </c>
      <c r="C10" s="33" t="n">
        <f aca="false">'1-Synthèse'!C18</f>
        <v>48404.475</v>
      </c>
      <c r="D10" s="34" t="n">
        <f aca="false">C10/C6</f>
        <v>0.9680895</v>
      </c>
      <c r="E10" s="35" t="str">
        <f aca="false">IF(C10&lt;=C6,"✓ Sous le plafond","✗ Dépassement")</f>
        <v>✓ Sous le plafond</v>
      </c>
    </row>
    <row r="11" customFormat="false" ht="15" hidden="false" customHeight="false" outlineLevel="0" collapsed="false">
      <c r="B11" s="17" t="s">
        <v>120</v>
      </c>
      <c r="C11" s="36" t="n">
        <f aca="false">C6-C10</f>
        <v>1595.525</v>
      </c>
      <c r="D11" s="32" t="n">
        <f aca="false">C11/C6</f>
        <v>0.0319105</v>
      </c>
      <c r="E11" s="37" t="s">
        <v>121</v>
      </c>
    </row>
    <row r="14" customFormat="false" ht="49.5" hidden="false" customHeight="true" outlineLevel="0" collapsed="false">
      <c r="B14" s="21" t="s">
        <v>122</v>
      </c>
      <c r="C14" s="21"/>
      <c r="D14" s="21"/>
      <c r="E14" s="21"/>
    </row>
  </sheetData>
  <mergeCells count="1">
    <mergeCell ref="B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2026-04-30T21:21:26Z</dcterms:created>
  <dc:creator>openpyxl</dc:creator>
  <dc:description/>
  <dc:language>en-US</dc:language>
  <cp:lastModifiedBy/>
  <dcterms:modified xsi:type="dcterms:W3CDTF">2026-04-30T21:21:26Z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