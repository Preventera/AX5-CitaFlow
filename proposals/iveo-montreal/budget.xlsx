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<sst xmlns="http://schemas.openxmlformats.org/spreadsheetml/2006/main" count="27" uniqueCount="27">
  <si>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Montage financier – Projet innovation Ville de Montréal</t>
  </si>
  <si>
    <t xml:space="preserve">Superviser en continu le réseau routier afin de détecter en temps réel les fins de chantier et les occupations non autorisées</t>
  </si>
  <si>
    <t xml:space="preserve">Améliorer la livraison des restaurants affectés par des entraves majeures</t>
  </si>
  <si>
    <t xml:space="preserve">Nom de la personne ressource du projet</t>
  </si>
  <si>
    <t xml:space="preserve">Mario Deshaies</t>
  </si>
  <si>
    <t xml:space="preserve">Déployer des dispositifs de signalisation qui facilitent les déplacements tout en rehaussant la qualité esthétique des espaces publics</t>
  </si>
  <si>
    <t xml:space="preserve">Courriel </t>
  </si>
  <si>
    <t xml:space="preserve">team@agenticx5.com</t>
  </si>
  <si>
    <t xml:space="preserve">Identifier les tendances comportementales aux abords de chantiers pour améliorer la sécurité des déplacements dans ces zones</t>
  </si>
  <si>
    <t xml:space="preserve">Nom de l'entreprise</t>
  </si>
  <si>
    <t xml:space="preserve">Innoventera Inc.</t>
  </si>
  <si>
    <t xml:space="preserve">Collecter en temps réel les données liées aux fermetures complètes de voies et à la mobilité sur le domaine public</t>
  </si>
  <si>
    <t xml:space="preserve">Nom du projet concerné </t>
  </si>
  <si>
    <t xml:space="preserve">Collecter en temps réel les données liées aux fermetures complètes de voies et à la mobilité sur le domaine public — AX5-CitaFlow</t>
  </si>
  <si>
    <t xml:space="preserve">Postes de dépenses (4 mois maximum)</t>
  </si>
  <si>
    <t xml:space="preserve">Montant* </t>
  </si>
  <si>
    <t xml:space="preserve">Conception, développement et adaptation de la solution.</t>
  </si>
  <si>
    <t xml:space="preserve">Matériels mis à disposition pour l’expérimentation</t>
  </si>
  <si>
    <t xml:space="preserve">Frais de licence associé aux plateformes technologiques utilisées pour la durée du projet pilote. (Si applicable)</t>
  </si>
  <si>
    <t xml:space="preserve">Frais de déplacement</t>
  </si>
  <si>
    <t xml:space="preserve">Mains-d’œuvre liées à la gestion du projet et au suivi de l’expérimentation de la solution</t>
  </si>
  <si>
    <t xml:space="preserve">Montant total hors taxes</t>
  </si>
  <si>
    <t xml:space="preserve">TPS (5%)</t>
  </si>
  <si>
    <t xml:space="preserve">TVQ (9.975%)</t>
  </si>
  <si>
    <t xml:space="preserve">COÛT TOTAL ESTIMÉ DU PROJET (Maximum 50.000$ taxes incluses)</t>
  </si>
  <si>
    <t xml:space="preserve">*Les montants indiqués doivent inclure l’ensemble des coûts nécessaires à la réalisation complète du projet pilote, incluant notamment les frais administratifs, généraux et indirects, sans possibilité de réclamation additionnelle.</t>
  </si>
  <si>
    <t xml:space="preserve">Ceci est un document partagé, merci de le télécharger et de ne pas le remplir en ligne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</si>
</sst>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$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2" tint="-0.75"/>
      <name val="Aptos"/>
      <family val="2"/>
      <charset val="1"/>
    </font>
    <font>
      <b val="true"/>
      <sz val="10"/>
      <color theme="2" tint="-0.75"/>
      <name val="Aptos"/>
      <family val="2"/>
      <charset val="1"/>
    </font>
    <font>
      <sz val="10"/>
      <color theme="2" tint="-0.75"/>
      <name val="Calibri"/>
      <family val="2"/>
      <charset val="1"/>
    </font>
    <font>
      <b val="true"/>
      <sz val="11"/>
      <color rgb="FFFFFFFF"/>
      <name val="Aptos"/>
      <family val="2"/>
      <charset val="1"/>
    </font>
    <font>
      <sz val="10"/>
      <color theme="1"/>
      <name val="Calibri"/>
      <family val="2"/>
      <charset val="1"/>
    </font>
    <font>
      <sz val="10"/>
      <color theme="2" tint="-0.75"/>
      <name val="Aptos"/>
      <family val="2"/>
      <charset val="1"/>
    </font>
    <font>
      <sz val="12"/>
      <color theme="2" tint="-0.75"/>
      <name val="Aptos"/>
      <family val="2"/>
      <charset val="1"/>
    </font>
    <font>
      <i val="true"/>
      <sz val="10"/>
      <color theme="2" tint="-0.75"/>
      <name val="Aptos"/>
      <family val="2"/>
      <charset val="1"/>
    </font>
    <font>
      <b val="true"/>
      <sz val="10"/>
      <color theme="0"/>
      <name val="Aptos"/>
      <family val="2"/>
      <charset val="1"/>
    </font>
    <font>
      <sz val="12"/>
      <color theme="0"/>
      <name val="Aptos"/>
      <family val="2"/>
      <charset val="1"/>
    </font>
    <font>
      <i val="true"/>
      <sz val="11"/>
      <color rgb="FFFF0000"/>
      <name val="Aptos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BDD7EE"/>
      </patternFill>
    </fill>
    <fill>
      <patternFill patternType="solid">
        <fgColor theme="2"/>
        <bgColor rgb="FFD0CECE"/>
      </patternFill>
    </fill>
    <fill>
      <patternFill patternType="solid">
        <fgColor rgb="FF2C7FCE"/>
        <bgColor rgb="FF0066CC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4" tint="-0.5"/>
        <bgColor rgb="FF00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8" activeCellId="0" sqref="C8"/>
    </sheetView>
  </sheetViews>
  <sheetFormatPr defaultColWidth="8.859375" defaultRowHeight="14.25" zeroHeight="false" outlineLevelRow="0" outlineLevelCol="0"/>
  <cols>
    <col collapsed="false" customWidth="true" hidden="false" outlineLevel="0" max="2" min="2" style="0" width="54.29"/>
    <col collapsed="false" customWidth="true" hidden="false" outlineLevel="0" max="3" min="3" style="0" width="36.57"/>
    <col collapsed="false" customWidth="true" hidden="false" outlineLevel="0" max="4" min="4" style="0" width="44.57"/>
    <col collapsed="false" customWidth="false" hidden="true" outlineLevel="0" max="8" min="8" style="0" width="8.86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M1" s="2"/>
    </row>
    <row r="2" customFormat="false" ht="14.25" hidden="false" customHeight="true" outlineLevel="0" collapsed="false">
      <c r="A2" s="1"/>
      <c r="B2" s="3" t="s">
        <v>0</v>
      </c>
      <c r="C2" s="3"/>
      <c r="D2" s="1"/>
      <c r="E2" s="1"/>
      <c r="F2" s="1"/>
      <c r="G2" s="1"/>
      <c r="H2" s="1"/>
      <c r="M2" s="2"/>
    </row>
    <row r="3" customFormat="false" ht="15" hidden="false" customHeight="true" outlineLevel="0" collapsed="false">
      <c r="B3" s="3"/>
      <c r="C3" s="3"/>
      <c r="H3" s="4" t="s">
        <v>1</v>
      </c>
      <c r="M3" s="2"/>
    </row>
    <row r="4" customFormat="false" ht="15" hidden="false" customHeight="true" outlineLevel="0" collapsed="false">
      <c r="H4" s="0" t="s">
        <v>2</v>
      </c>
      <c r="M4" s="2"/>
    </row>
    <row r="5" customFormat="false" ht="14.25" hidden="false" customHeight="false" outlineLevel="0" collapsed="false">
      <c r="B5" s="5" t="s">
        <v>3</v>
      </c>
      <c r="C5" s="6" t="s">
        <v>4</v>
      </c>
      <c r="H5" s="4" t="s">
        <v>5</v>
      </c>
      <c r="M5" s="2"/>
    </row>
    <row r="6" customFormat="false" ht="14.25" hidden="false" customHeight="false" outlineLevel="0" collapsed="false">
      <c r="B6" s="7" t="s">
        <v>6</v>
      </c>
      <c r="C6" s="8" t="s">
        <v>7</v>
      </c>
      <c r="H6" s="4" t="s">
        <v>8</v>
      </c>
      <c r="M6" s="2"/>
    </row>
    <row r="7" customFormat="false" ht="14.25" hidden="false" customHeight="false" outlineLevel="0" collapsed="false">
      <c r="B7" s="7" t="s">
        <v>9</v>
      </c>
      <c r="C7" s="8" t="s">
        <v>10</v>
      </c>
      <c r="H7" s="4" t="s">
        <v>11</v>
      </c>
      <c r="M7" s="2"/>
    </row>
    <row r="8" customFormat="false" ht="15" hidden="false" customHeight="true" outlineLevel="0" collapsed="false">
      <c r="B8" s="9" t="s">
        <v>12</v>
      </c>
      <c r="C8" s="10" t="s">
        <v>13</v>
      </c>
      <c r="M8" s="2"/>
    </row>
    <row r="9" customFormat="false" ht="14.25" hidden="false" customHeight="false" outlineLevel="0" collapsed="false">
      <c r="M9" s="2"/>
    </row>
    <row r="10" customFormat="false" ht="30" hidden="false" customHeight="true" outlineLevel="0" collapsed="false">
      <c r="B10" s="11" t="s">
        <v>14</v>
      </c>
      <c r="C10" s="11" t="s">
        <v>15</v>
      </c>
      <c r="D10" s="12"/>
      <c r="M10" s="2"/>
    </row>
    <row r="11" customFormat="false" ht="15" hidden="false" customHeight="true" outlineLevel="0" collapsed="false">
      <c r="B11" s="13" t="s">
        <v>16</v>
      </c>
      <c r="C11" s="14" t="n">
        <v>26000</v>
      </c>
      <c r="M11" s="2"/>
    </row>
    <row r="12" customFormat="false" ht="15" hidden="false" customHeight="true" outlineLevel="0" collapsed="false">
      <c r="B12" s="13" t="s">
        <v>17</v>
      </c>
      <c r="C12" s="14" t="n">
        <v>0</v>
      </c>
      <c r="M12" s="2"/>
    </row>
    <row r="13" customFormat="false" ht="27" hidden="false" customHeight="true" outlineLevel="0" collapsed="false">
      <c r="B13" s="13" t="s">
        <v>18</v>
      </c>
      <c r="C13" s="14" t="n">
        <v>1800</v>
      </c>
      <c r="M13" s="2"/>
    </row>
    <row r="14" customFormat="false" ht="15" hidden="false" customHeight="true" outlineLevel="0" collapsed="false">
      <c r="B14" s="13" t="s">
        <v>19</v>
      </c>
      <c r="C14" s="14" t="n">
        <v>1200</v>
      </c>
      <c r="M14" s="2"/>
    </row>
    <row r="15" customFormat="false" ht="27" hidden="false" customHeight="true" outlineLevel="0" collapsed="false">
      <c r="B15" s="13" t="s">
        <v>20</v>
      </c>
      <c r="C15" s="14" t="n">
        <v>13100</v>
      </c>
      <c r="M15" s="2"/>
    </row>
    <row r="16" customFormat="false" ht="15" hidden="false" customHeight="true" outlineLevel="0" collapsed="false">
      <c r="B16" s="15" t="s">
        <v>21</v>
      </c>
      <c r="C16" s="16" t="n">
        <f aca="false">SUM(C11:C15)</f>
        <v>42100</v>
      </c>
      <c r="M16" s="2"/>
    </row>
    <row r="17" customFormat="false" ht="15" hidden="false" customHeight="true" outlineLevel="0" collapsed="false">
      <c r="B17" s="17" t="s">
        <v>22</v>
      </c>
      <c r="C17" s="18" t="n">
        <f aca="false">C16*5%</f>
        <v>2105</v>
      </c>
      <c r="M17" s="2"/>
    </row>
    <row r="18" customFormat="false" ht="15" hidden="false" customHeight="true" outlineLevel="0" collapsed="false">
      <c r="B18" s="17" t="s">
        <v>23</v>
      </c>
      <c r="C18" s="18" t="n">
        <f aca="false">C16*(9.975%)</f>
        <v>4199.475</v>
      </c>
      <c r="M18" s="2"/>
    </row>
    <row r="19" customFormat="false" ht="27" hidden="false" customHeight="true" outlineLevel="0" collapsed="false">
      <c r="B19" s="19" t="s">
        <v>24</v>
      </c>
      <c r="C19" s="20" t="n">
        <f aca="false">SUM(C16,C17,C18,)</f>
        <v>48404.475</v>
      </c>
      <c r="D19" s="21" t="str">
        <f aca="false">IF(C19&gt;50000,"Le montant du projet ne peut pas excéder 50 000$","")</f>
        <v/>
      </c>
      <c r="M19" s="2"/>
    </row>
    <row r="20" customFormat="false" ht="14.25" hidden="false" customHeight="false" outlineLevel="0" collapsed="false">
      <c r="M20" s="2"/>
    </row>
    <row r="21" customFormat="false" ht="14.25" hidden="false" customHeight="true" outlineLevel="0" collapsed="false">
      <c r="B21" s="22" t="s">
        <v>25</v>
      </c>
      <c r="C21" s="22"/>
      <c r="M21" s="2"/>
    </row>
    <row r="22" customFormat="false" ht="70.5" hidden="false" customHeight="true" outlineLevel="0" collapsed="false">
      <c r="B22" s="22"/>
      <c r="C22" s="22"/>
      <c r="M22" s="2"/>
    </row>
    <row r="23" customFormat="false" ht="14.25" hidden="false" customHeight="false" outlineLevel="0" collapsed="false">
      <c r="B23" s="23" t="s">
        <v>26</v>
      </c>
      <c r="C23" s="23"/>
      <c r="M23" s="2"/>
    </row>
    <row r="24" customFormat="false" ht="14.25" hidden="false" customHeight="false" outlineLevel="0" collapsed="false">
      <c r="B24" s="23"/>
      <c r="C24" s="23"/>
      <c r="M24" s="2"/>
    </row>
    <row r="25" customFormat="false" ht="14.25" hidden="false" customHeight="false" outlineLevel="0" collapsed="false">
      <c r="M25" s="2"/>
    </row>
    <row r="26" customFormat="false" ht="14.25" hidden="false" customHeight="false" outlineLevel="0" collapsed="false">
      <c r="M26" s="2"/>
    </row>
    <row r="27" customFormat="false" ht="14.25" hidden="false" customHeight="false" outlineLevel="0" collapsed="false">
      <c r="M27" s="2"/>
    </row>
    <row r="28" customFormat="false" ht="14.25" hidden="false" customHeight="false" outlineLevel="0" collapsed="false">
      <c r="M28" s="2"/>
    </row>
    <row r="29" customFormat="false" ht="14.25" hidden="false" customHeight="false" outlineLevel="0" collapsed="false">
      <c r="M29" s="2"/>
    </row>
  </sheetData>
  <sheetProtection algorithmName="SHA-512" hashValue="3ujlxXzKsOZ8tfD0krcLGAoLrZCBw2oSoWOo7uRIwtX41e2kuQMY7kh8aZ+Tk+Nq/5hw0Y4LFHmEiOvQ0hRTEQ==" saltValue="Tjht90OvhC9byoN+dKa9+Q==" spinCount="100000" sheet="true" objects="true" scenarios="true" selectLockedCells="true"/>
  <mergeCells count="3">
    <mergeCell ref="B2:C3"/>
    <mergeCell ref="B21:C22"/>
    <mergeCell ref="B23:C24"/>
  </mergeCells>
  <conditionalFormatting sqref="C19">
    <cfRule type="cellIs" priority="2" operator="greaterThan" aboveAverage="0" equalAverage="0" bottom="0" percent="0" rank="0" text="" dxfId="0">
      <formula>50000</formula>
    </cfRule>
  </conditionalFormatting>
  <dataValidations count="1">
    <dataValidation allowBlank="true" errorStyle="stop" operator="between" showDropDown="false" showErrorMessage="true" showInputMessage="true" sqref="C8" type="list">
      <formula1>$H$3:$H$8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Hélène</dc:creator>
  <dc:description/>
  <dc:language>en-US</dc:language>
  <cp:lastModifiedBy/>
  <dcterms:modified xsi:type="dcterms:W3CDTF">2026-05-01T19:02:57Z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